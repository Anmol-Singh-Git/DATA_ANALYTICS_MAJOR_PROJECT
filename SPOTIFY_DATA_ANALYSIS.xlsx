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nmol\Music\"/>
    </mc:Choice>
  </mc:AlternateContent>
  <xr:revisionPtr revIDLastSave="0" documentId="13_ncr:9_{99C12BE7-CFAC-4112-B040-8A88E43FF102}" xr6:coauthVersionLast="47" xr6:coauthVersionMax="47" xr10:uidLastSave="{00000000-0000-0000-0000-000000000000}"/>
  <bookViews>
    <workbookView xWindow="-110" yWindow="-110" windowWidth="19420" windowHeight="12220" tabRatio="906" activeTab="4" xr2:uid="{DDA71D9E-8BE2-4552-9C83-DA6E868F2BE7}"/>
  </bookViews>
  <sheets>
    <sheet name="Sheet3" sheetId="5" r:id="rId1"/>
    <sheet name="Sheet4" sheetId="6" r:id="rId2"/>
    <sheet name="Sheet5" sheetId="7" r:id="rId3"/>
    <sheet name="SPOTIFY_DATA" sheetId="1" r:id="rId4"/>
    <sheet name="DASHBOARD" sheetId="4" r:id="rId5"/>
    <sheet name="Sheet1" sheetId="2" r:id="rId6"/>
  </sheets>
  <definedNames>
    <definedName name="Slicer_Genre">#N/A</definedName>
  </definedNames>
  <calcPr calcId="0"/>
  <pivotCaches>
    <pivotCache cacheId="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<sst xmlns="http://schemas.openxmlformats.org/spreadsheetml/2006/main" count="83" uniqueCount="52">
  <si>
    <t>Rank</t>
  </si>
  <si>
    <t>Track_Name</t>
  </si>
  <si>
    <t>Artist_Name</t>
  </si>
  <si>
    <t>Streams_Billions</t>
  </si>
  <si>
    <t>Release_Year</t>
  </si>
  <si>
    <t>Genre</t>
  </si>
  <si>
    <t>BPM</t>
  </si>
  <si>
    <t>Danceability_Pct</t>
  </si>
  <si>
    <t>Energy_Pct</t>
  </si>
  <si>
    <t>Blinding Lights</t>
  </si>
  <si>
    <t>The Weeknd</t>
  </si>
  <si>
    <t>Synth-Pop</t>
  </si>
  <si>
    <t>Shape of You</t>
  </si>
  <si>
    <t>Ed Sheeran</t>
  </si>
  <si>
    <t>Pop</t>
  </si>
  <si>
    <t>Someone You Loved</t>
  </si>
  <si>
    <t>Lewis Capaldi</t>
  </si>
  <si>
    <t>Pop Ballad</t>
  </si>
  <si>
    <t>Sunflower</t>
  </si>
  <si>
    <t>Post Malone &amp; Swae Lee</t>
  </si>
  <si>
    <t>Hip-Hop / R&amp;B</t>
  </si>
  <si>
    <t>As It Was</t>
  </si>
  <si>
    <t>Harry Styles</t>
  </si>
  <si>
    <t>Indie Pop</t>
  </si>
  <si>
    <t>Starboy</t>
  </si>
  <si>
    <t>The Weeknd ft. Daft Punk</t>
  </si>
  <si>
    <t>R&amp;B / Electro</t>
  </si>
  <si>
    <t>One Dance</t>
  </si>
  <si>
    <t>Drake ft. Wizkid &amp; Kyla</t>
  </si>
  <si>
    <t>Afrobeats / Dancehall</t>
  </si>
  <si>
    <t>Stay</t>
  </si>
  <si>
    <t>The Kid LAROI &amp; Justin Bieber</t>
  </si>
  <si>
    <t>Pop Rap</t>
  </si>
  <si>
    <t>Believer</t>
  </si>
  <si>
    <t>Imagine Dragons</t>
  </si>
  <si>
    <t>Pop Rock</t>
  </si>
  <si>
    <t>Heat Waves</t>
  </si>
  <si>
    <t>Glass Animals</t>
  </si>
  <si>
    <t>Psychedelic Pop</t>
  </si>
  <si>
    <t>Rockstar</t>
  </si>
  <si>
    <t>Post Malone ft. 21 Savage</t>
  </si>
  <si>
    <t>Trap / Hip-Hop</t>
  </si>
  <si>
    <t>Closer</t>
  </si>
  <si>
    <t>The Chainsmokers ft. Halsey</t>
  </si>
  <si>
    <t>EDM Pop</t>
  </si>
  <si>
    <t>Row Labels</t>
  </si>
  <si>
    <t>Grand Total</t>
  </si>
  <si>
    <t>Sum of Streams_Billions</t>
  </si>
  <si>
    <t>Tracks</t>
  </si>
  <si>
    <t>Total Streams_Billions</t>
  </si>
  <si>
    <t>Sum of Danceability_Pct</t>
  </si>
  <si>
    <t>Sum of Energy_Pct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</si>
</sst>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DB95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1DB9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[SPOTIFY_DATA_ANALYSIS.xlsx]Sheet1!PivotTable1</c:name>
    <c:fmtId val="7"/>
  </c:pivotSource>
  <c:chart>
    <c:title>
      <c:tx>
        <c:rich>
          <a:bodyPr rot="0" spcFirstLastPara="1" vertOverflow="ellipsis" vert="horz" wrap="square" anchor="ctr" anchorCtr="1"/>
          <a:lstStyle/>
          <a:p>
            <a:pPr>
              <a:defRPr sz="1400" b="0" i="0" u="none" strike="noStrike" kern="1200" spc="0" baseline="0">
                <a:solidFill>
                  <a:srgbClr val="1DB954"/>
                </a:solidFill>
                <a:latin typeface="+mn-lt"/>
                <a:ea typeface="+mn-ea"/>
                <a:cs typeface="+mn-cs"/>
              </a:defRPr>
            </a:pPr>
            <a:r>
              <a:rPr lang="en-US" sz="2000" b="1">
                <a:solidFill>
                  <a:srgbClr val="1DB954"/>
                </a:solidFill>
                <a:latin typeface="Anta" pitchFamily="2" charset="0"/>
              </a:rPr>
              <a:t>TOP 12 MOST STREAMED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DB954"/>
              </a:solidFill>
              <a:latin typeface="+mn-lt"/>
              <a:ea typeface="+mn-ea"/>
              <a:cs typeface="+mn-cs"/>
            </a:defRPr>
          </a:pPr>
          <a:endParaRPr lang="en-US"/>
        </a:p>
      </c:txPr>
    </c:title>
    <c:autoTitleDeleted val="0"/>
    <c:pivotFmts>
      <c:pivotFmt>
        <c:idx val="0"/>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85266234465171"/>
          <c:y val="0.14998420141302563"/>
          <c:w val="0.60339938757655298"/>
          <c:h val="0.72088764946048411"/>
        </c:manualLayout>
      </c:layout>
      <c:barChart>
        <c:barDir val="bar"/>
        <c:grouping val="stacked"/>
        <c:varyColors val="0"/>
        <c:ser>
          <c:idx val="0"/>
          <c:order val="0"/>
          <c:tx>
            <c:strRef>
              <c:f>Sheet1!$B$3</c:f>
              <c:strCache>
                <c:ptCount val="1"/>
                <c:pt idx="0">
                  <c:v>Total</c:v>
                </c:pt>
              </c:strCache>
            </c:strRef>
          </c:tx>
          <c:spPr>
            <a:solidFill>
              <a:srgbClr val="1DB954"/>
            </a:solidFill>
            <a:ln>
              <a:noFill/>
            </a:ln>
            <a:effectLst/>
          </c:spPr>
          <c:invertIfNegative val="0"/>
          <c:cat>
            <c:strRef>
              <c:f>Sheet1!$A$4:$A$16</c:f>
              <c:strCache>
                <c:ptCount val="12"/>
                <c:pt idx="0">
                  <c:v>As It Was</c:v>
                </c:pt>
                <c:pt idx="1">
                  <c:v>Believer</c:v>
                </c:pt>
                <c:pt idx="2">
                  <c:v>Blinding Lights</c:v>
                </c:pt>
                <c:pt idx="3">
                  <c:v>Closer</c:v>
                </c:pt>
                <c:pt idx="4">
                  <c:v>Heat Waves</c:v>
                </c:pt>
                <c:pt idx="5">
                  <c:v>One Dance</c:v>
                </c:pt>
                <c:pt idx="6">
                  <c:v>Rockstar</c:v>
                </c:pt>
                <c:pt idx="7">
                  <c:v>Shape of You</c:v>
                </c:pt>
                <c:pt idx="8">
                  <c:v>Someone You Loved</c:v>
                </c:pt>
                <c:pt idx="9">
                  <c:v>Starboy</c:v>
                </c:pt>
                <c:pt idx="10">
                  <c:v>Stay</c:v>
                </c:pt>
                <c:pt idx="11">
                  <c:v>Sunflower</c:v>
                </c:pt>
              </c:strCache>
            </c:strRef>
          </c:cat>
          <c:val>
            <c:numRef>
              <c:f>Sheet1!$B$4:$B$16</c:f>
              <c:numCache>
                <c:formatCode>General</c:formatCode>
                <c:ptCount val="12"/>
                <c:pt idx="0">
                  <c:v>3.31</c:v>
                </c:pt>
                <c:pt idx="1">
                  <c:v>3.02</c:v>
                </c:pt>
                <c:pt idx="2">
                  <c:v>4.32</c:v>
                </c:pt>
                <c:pt idx="3">
                  <c:v>2.88</c:v>
                </c:pt>
                <c:pt idx="4">
                  <c:v>2.98</c:v>
                </c:pt>
                <c:pt idx="5">
                  <c:v>3.18</c:v>
                </c:pt>
                <c:pt idx="6">
                  <c:v>2.92</c:v>
                </c:pt>
                <c:pt idx="7">
                  <c:v>3.95</c:v>
                </c:pt>
                <c:pt idx="8">
                  <c:v>3.41</c:v>
                </c:pt>
                <c:pt idx="9">
                  <c:v>3.29</c:v>
                </c:pt>
                <c:pt idx="10">
                  <c:v>3.11</c:v>
                </c:pt>
                <c:pt idx="11">
                  <c:v>3.38</c:v>
                </c:pt>
              </c:numCache>
            </c:numRef>
          </c:val>
          <c:extLst>
            <c:ext xmlns:c16="http://schemas.microsoft.com/office/drawing/2014/chart" uri="{C3380CC4-5D6E-409C-BE32-E72D297353CC}">
              <c16:uniqueId val="{00000000-C5C0-42B8-B940-AB4417CEB03F}"/>
            </c:ext>
          </c:extLst>
        </c:ser>
        <c:dLbls>
          <c:showLegendKey val="0"/>
          <c:showVal val="0"/>
          <c:showCatName val="0"/>
          <c:showSerName val="0"/>
          <c:showPercent val="0"/>
          <c:showBubbleSize val="0"/>
        </c:dLbls>
        <c:gapWidth val="150"/>
        <c:overlap val="100"/>
        <c:axId val="1203759919"/>
        <c:axId val="1202446095"/>
      </c:barChart>
      <c:catAx>
        <c:axId val="120375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DB954"/>
                </a:solidFill>
                <a:latin typeface="Anta" pitchFamily="2" charset="0"/>
                <a:ea typeface="+mn-ea"/>
                <a:cs typeface="+mn-cs"/>
              </a:defRPr>
            </a:pPr>
            <a:endParaRPr lang="en-US"/>
          </a:p>
        </c:txPr>
        <c:crossAx val="1202446095"/>
        <c:crosses val="autoZero"/>
        <c:auto val="1"/>
        <c:lblAlgn val="ctr"/>
        <c:lblOffset val="100"/>
        <c:noMultiLvlLbl val="0"/>
      </c:catAx>
      <c:valAx>
        <c:axId val="120244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759919"/>
        <c:crosses val="autoZero"/>
        <c:crossBetween val="between"/>
      </c:valAx>
      <c:spPr>
        <a:noFill/>
        <a:ln>
          <a:noFill/>
        </a:ln>
        <a:effectLst/>
      </c:spPr>
    </c:plotArea>
    <c:legend>
      <c:legendPos val="r"/>
      <c:layout>
        <c:manualLayout>
          <c:xMode val="edge"/>
          <c:yMode val="edge"/>
          <c:x val="0.85824039345239578"/>
          <c:y val="0.51370761239114782"/>
          <c:w val="0.13124435943929721"/>
          <c:h val="6.70148253940167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[SPOTIFY_DATA_ANALYSIS.xlsx]Sheet3!PivotTable2</c:name>
    <c:fmtId val="4"/>
  </c:pivotSource>
  <c:chart>
    <c:title>
      <c:tx>
        <c:rich>
          <a:bodyPr rot="0" spcFirstLastPara="1" vertOverflow="ellipsis" vert="horz" wrap="square" anchor="ctr" anchorCtr="1"/>
          <a:lstStyle/>
          <a:p>
            <a:pPr>
              <a:defRPr sz="1800" b="0" i="0" u="none" strike="noStrike" kern="1200" spc="0" baseline="0">
                <a:solidFill>
                  <a:srgbClr val="1DB954"/>
                </a:solidFill>
                <a:latin typeface="+mn-lt"/>
                <a:ea typeface="+mn-ea"/>
                <a:cs typeface="+mn-cs"/>
              </a:defRPr>
            </a:pPr>
            <a:r>
              <a:rPr lang="en-US" sz="1800" b="1"/>
              <a:t>STREAMS</a:t>
            </a:r>
            <a:r>
              <a:rPr lang="en-US" sz="1800" b="1" baseline="0"/>
              <a:t> BY GENRE</a:t>
            </a:r>
          </a:p>
        </c:rich>
      </c:tx>
      <c:layout>
        <c:manualLayout>
          <c:xMode val="edge"/>
          <c:yMode val="edge"/>
          <c:x val="0.31103898014597597"/>
          <c:y val="2.255711975267856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1DB95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1DB9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DB9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DB9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9.0857836152073546E-2"/>
          <c:y val="0.12267899045731868"/>
          <c:w val="0.46641666666666665"/>
          <c:h val="0.77736111111111106"/>
        </c:manualLayout>
      </c:layout>
      <c:doughnutChart>
        <c:varyColors val="1"/>
        <c:ser>
          <c:idx val="0"/>
          <c:order val="0"/>
          <c:tx>
            <c:strRef>
              <c:f>Sheet3!$B$3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AA-46CD-B889-7AD57D4F63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AA-46CD-B889-7AD57D4F63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AA-46CD-B889-7AD57D4F63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AA-46CD-B889-7AD57D4F63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AA-46CD-B889-7AD57D4F635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AA-46CD-B889-7AD57D4F635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AAA-46CD-B889-7AD57D4F635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AAA-46CD-B889-7AD57D4F635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AAA-46CD-B889-7AD57D4F635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AAA-46CD-B889-7AD57D4F635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AAA-46CD-B889-7AD57D4F635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AAA-46CD-B889-7AD57D4F6354}"/>
              </c:ext>
            </c:extLst>
          </c:dPt>
          <c:cat>
            <c:strRef>
              <c:f>Sheet3!$A$4:$A$16</c:f>
              <c:strCache>
                <c:ptCount val="12"/>
                <c:pt idx="0">
                  <c:v>Afrobeats / Dancehall</c:v>
                </c:pt>
                <c:pt idx="1">
                  <c:v>EDM Pop</c:v>
                </c:pt>
                <c:pt idx="2">
                  <c:v>Hip-Hop / R&amp;B</c:v>
                </c:pt>
                <c:pt idx="3">
                  <c:v>Indie Pop</c:v>
                </c:pt>
                <c:pt idx="4">
                  <c:v>Pop</c:v>
                </c:pt>
                <c:pt idx="5">
                  <c:v>Pop Ballad</c:v>
                </c:pt>
                <c:pt idx="6">
                  <c:v>Pop Rap</c:v>
                </c:pt>
                <c:pt idx="7">
                  <c:v>Pop Rock</c:v>
                </c:pt>
                <c:pt idx="8">
                  <c:v>Psychedelic Pop</c:v>
                </c:pt>
                <c:pt idx="9">
                  <c:v>R&amp;B / Electro</c:v>
                </c:pt>
                <c:pt idx="10">
                  <c:v>Synth-Pop</c:v>
                </c:pt>
                <c:pt idx="11">
                  <c:v>Trap / Hip-Hop</c:v>
                </c:pt>
              </c:strCache>
            </c:strRef>
          </c:cat>
          <c:val>
            <c:numRef>
              <c:f>Sheet3!$B$4:$B$16</c:f>
              <c:numCache>
                <c:formatCode>General</c:formatCode>
                <c:ptCount val="12"/>
                <c:pt idx="0">
                  <c:v>3.18</c:v>
                </c:pt>
                <c:pt idx="1">
                  <c:v>2.88</c:v>
                </c:pt>
                <c:pt idx="2">
                  <c:v>3.38</c:v>
                </c:pt>
                <c:pt idx="3">
                  <c:v>3.31</c:v>
                </c:pt>
                <c:pt idx="4">
                  <c:v>3.95</c:v>
                </c:pt>
                <c:pt idx="5">
                  <c:v>3.41</c:v>
                </c:pt>
                <c:pt idx="6">
                  <c:v>3.11</c:v>
                </c:pt>
                <c:pt idx="7">
                  <c:v>3.02</c:v>
                </c:pt>
                <c:pt idx="8">
                  <c:v>2.98</c:v>
                </c:pt>
                <c:pt idx="9">
                  <c:v>3.29</c:v>
                </c:pt>
                <c:pt idx="10">
                  <c:v>4.32</c:v>
                </c:pt>
                <c:pt idx="11">
                  <c:v>2.92</c:v>
                </c:pt>
              </c:numCache>
            </c:numRef>
          </c:val>
          <c:extLst>
            <c:ext xmlns:c16="http://schemas.microsoft.com/office/drawing/2014/chart" uri="{C3380CC4-5D6E-409C-BE32-E72D297353CC}">
              <c16:uniqueId val="{00000018-2AAA-46CD-B889-7AD57D4F63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0108379679013746"/>
          <c:y val="6.4825833029149502E-2"/>
          <c:w val="0.3742480778138027"/>
          <c:h val="0.87406216045822216"/>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1DB954"/>
              </a:solidFill>
              <a:latin typeface="Ant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rgbClr val="1DB95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[SPOTIFY_DATA_ANALYSIS.xlsx]Sheet4!PivotTable3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64103127582856"/>
          <c:y val="0.10014448570219463"/>
          <c:w val="0.6569523333132099"/>
          <c:h val="0.6104280319390456"/>
        </c:manualLayout>
      </c:layout>
      <c:barChart>
        <c:barDir val="col"/>
        <c:grouping val="percentStacked"/>
        <c:varyColors val="0"/>
        <c:ser>
          <c:idx val="0"/>
          <c:order val="0"/>
          <c:tx>
            <c:strRef>
              <c:f>Sheet4!$B$3</c:f>
              <c:strCache>
                <c:ptCount val="1"/>
                <c:pt idx="0">
                  <c:v>Sum of Danceability_Pct</c:v>
                </c:pt>
              </c:strCache>
            </c:strRef>
          </c:tx>
          <c:spPr>
            <a:solidFill>
              <a:schemeClr val="accent1"/>
            </a:solidFill>
            <a:ln>
              <a:noFill/>
            </a:ln>
            <a:effectLst/>
          </c:spPr>
          <c:invertIfNegative val="0"/>
          <c:cat>
            <c:strRef>
              <c:f>Sheet4!$A$4:$A$5</c:f>
              <c:strCache>
                <c:ptCount val="1"/>
                <c:pt idx="0">
                  <c:v>Believer</c:v>
                </c:pt>
              </c:strCache>
            </c:strRef>
          </c:cat>
          <c:val>
            <c:numRef>
              <c:f>Sheet4!$B$4:$B$5</c:f>
              <c:numCache>
                <c:formatCode>General</c:formatCode>
                <c:ptCount val="1"/>
                <c:pt idx="0">
                  <c:v>78</c:v>
                </c:pt>
              </c:numCache>
            </c:numRef>
          </c:val>
          <c:extLst>
            <c:ext xmlns:c16="http://schemas.microsoft.com/office/drawing/2014/chart" uri="{C3380CC4-5D6E-409C-BE32-E72D297353CC}">
              <c16:uniqueId val="{00000000-6871-4336-905C-87DEA5DB2595}"/>
            </c:ext>
          </c:extLst>
        </c:ser>
        <c:ser>
          <c:idx val="1"/>
          <c:order val="1"/>
          <c:tx>
            <c:strRef>
              <c:f>Sheet4!$C$3</c:f>
              <c:strCache>
                <c:ptCount val="1"/>
                <c:pt idx="0">
                  <c:v>Sum of Energy_Pct</c:v>
                </c:pt>
              </c:strCache>
            </c:strRef>
          </c:tx>
          <c:spPr>
            <a:solidFill>
              <a:schemeClr val="accent2"/>
            </a:solidFill>
            <a:ln>
              <a:noFill/>
            </a:ln>
            <a:effectLst/>
          </c:spPr>
          <c:invertIfNegative val="0"/>
          <c:cat>
            <c:strRef>
              <c:f>Sheet4!$A$4:$A$5</c:f>
              <c:strCache>
                <c:ptCount val="1"/>
                <c:pt idx="0">
                  <c:v>Believer</c:v>
                </c:pt>
              </c:strCache>
            </c:strRef>
          </c:cat>
          <c:val>
            <c:numRef>
              <c:f>Sheet4!$C$4:$C$5</c:f>
              <c:numCache>
                <c:formatCode>General</c:formatCode>
                <c:ptCount val="1"/>
                <c:pt idx="0">
                  <c:v>78</c:v>
                </c:pt>
              </c:numCache>
            </c:numRef>
          </c:val>
          <c:extLst>
            <c:ext xmlns:c16="http://schemas.microsoft.com/office/drawing/2014/chart" uri="{C3380CC4-5D6E-409C-BE32-E72D297353CC}">
              <c16:uniqueId val="{00000001-6871-4336-905C-87DEA5DB2595}"/>
            </c:ext>
          </c:extLst>
        </c:ser>
        <c:dLbls>
          <c:showLegendKey val="0"/>
          <c:showVal val="0"/>
          <c:showCatName val="0"/>
          <c:showSerName val="0"/>
          <c:showPercent val="0"/>
          <c:showBubbleSize val="0"/>
        </c:dLbls>
        <c:gapWidth val="150"/>
        <c:overlap val="100"/>
        <c:axId val="1363432063"/>
        <c:axId val="1202424015"/>
      </c:barChart>
      <c:catAx>
        <c:axId val="136343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1DB954"/>
                </a:solidFill>
                <a:latin typeface="+mn-lt"/>
                <a:ea typeface="+mn-ea"/>
                <a:cs typeface="+mn-cs"/>
              </a:defRPr>
            </a:pPr>
            <a:endParaRPr lang="en-US"/>
          </a:p>
        </c:txPr>
        <c:crossAx val="1202424015"/>
        <c:crosses val="autoZero"/>
        <c:auto val="1"/>
        <c:lblAlgn val="ctr"/>
        <c:lblOffset val="100"/>
        <c:noMultiLvlLbl val="0"/>
      </c:catAx>
      <c:valAx>
        <c:axId val="1202424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1DB954"/>
                </a:solidFill>
                <a:latin typeface="Anta" pitchFamily="2" charset="0"/>
                <a:ea typeface="+mn-ea"/>
                <a:cs typeface="+mn-cs"/>
              </a:defRPr>
            </a:pPr>
            <a:endParaRPr lang="en-US"/>
          </a:p>
        </c:txPr>
        <c:crossAx val="1363432063"/>
        <c:crosses val="autoZero"/>
        <c:crossBetween val="between"/>
      </c:valAx>
      <c:spPr>
        <a:noFill/>
        <a:ln>
          <a:noFill/>
        </a:ln>
        <a:effectLst/>
      </c:spPr>
    </c:plotArea>
    <c:legend>
      <c:legendPos val="r"/>
      <c:layout>
        <c:manualLayout>
          <c:xMode val="edge"/>
          <c:yMode val="edge"/>
          <c:x val="0.78929943469046937"/>
          <c:y val="0.34174542303874339"/>
          <c:w val="0.17373027536722502"/>
          <c:h val="0.31040486738253259"/>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1DB954"/>
              </a:solidFill>
              <a:latin typeface="Ant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[SPOTIFY_DATA_ANALYSIS.xlsx]Sheet5!PivotTable4</c:name>
    <c:fmtId val="4"/>
  </c:pivotSource>
  <c:chart>
    <c:title>
      <c:tx>
        <c:rich>
          <a:bodyPr rot="0" spcFirstLastPara="1" vertOverflow="ellipsis" vert="horz" wrap="square" anchor="ctr" anchorCtr="1"/>
          <a:lstStyle/>
          <a:p>
            <a:pPr>
              <a:defRPr sz="1600" b="0" i="0" u="none" strike="noStrike" kern="1200" spc="0" baseline="0">
                <a:solidFill>
                  <a:srgbClr val="1DB954"/>
                </a:solidFill>
                <a:latin typeface="Anta" pitchFamily="2" charset="0"/>
                <a:ea typeface="+mn-ea"/>
                <a:cs typeface="+mn-cs"/>
              </a:defRPr>
            </a:pPr>
            <a:r>
              <a:rPr lang="en-US" sz="1600" b="1">
                <a:solidFill>
                  <a:srgbClr val="1DB954"/>
                </a:solidFill>
                <a:latin typeface="Anta" pitchFamily="2" charset="0"/>
              </a:rPr>
              <a:t>RELEASE</a:t>
            </a:r>
            <a:r>
              <a:rPr lang="en-US" sz="1600" b="1" baseline="0">
                <a:solidFill>
                  <a:srgbClr val="1DB954"/>
                </a:solidFill>
                <a:latin typeface="Anta" pitchFamily="2" charset="0"/>
              </a:rPr>
              <a:t> YEAR DISTRIBUTION</a:t>
            </a:r>
          </a:p>
        </c:rich>
      </c:tx>
      <c:layout>
        <c:manualLayout>
          <c:xMode val="edge"/>
          <c:yMode val="edge"/>
          <c:x val="0.25070954074369334"/>
          <c:y val="5.624692851593925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1DB954"/>
              </a:solidFill>
              <a:latin typeface="Anta" pitchFamily="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1055202473328"/>
          <c:y val="0.20535938612811952"/>
          <c:w val="0.79548987417667605"/>
          <c:h val="0.66410973486483538"/>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Sheet5!$A$4:$A$11</c:f>
              <c:strCache>
                <c:ptCount val="7"/>
                <c:pt idx="0">
                  <c:v>2016</c:v>
                </c:pt>
                <c:pt idx="1">
                  <c:v>2017</c:v>
                </c:pt>
                <c:pt idx="2">
                  <c:v>2018</c:v>
                </c:pt>
                <c:pt idx="3">
                  <c:v>2019</c:v>
                </c:pt>
                <c:pt idx="4">
                  <c:v>2020</c:v>
                </c:pt>
                <c:pt idx="5">
                  <c:v>2021</c:v>
                </c:pt>
                <c:pt idx="6">
                  <c:v>2022</c:v>
                </c:pt>
              </c:strCache>
            </c:strRef>
          </c:cat>
          <c:val>
            <c:numRef>
              <c:f>Sheet5!$B$4:$B$11</c:f>
              <c:numCache>
                <c:formatCode>General</c:formatCode>
                <c:ptCount val="7"/>
                <c:pt idx="0">
                  <c:v>9.3500000000000014</c:v>
                </c:pt>
                <c:pt idx="1">
                  <c:v>9.89</c:v>
                </c:pt>
                <c:pt idx="2">
                  <c:v>6.79</c:v>
                </c:pt>
                <c:pt idx="3">
                  <c:v>4.32</c:v>
                </c:pt>
                <c:pt idx="4">
                  <c:v>2.98</c:v>
                </c:pt>
                <c:pt idx="5">
                  <c:v>3.11</c:v>
                </c:pt>
                <c:pt idx="6">
                  <c:v>3.31</c:v>
                </c:pt>
              </c:numCache>
            </c:numRef>
          </c:val>
          <c:smooth val="0"/>
          <c:extLst>
            <c:ext xmlns:c16="http://schemas.microsoft.com/office/drawing/2014/chart" uri="{C3380CC4-5D6E-409C-BE32-E72D297353CC}">
              <c16:uniqueId val="{00000000-B763-4C5B-AF44-81B8FE90CCB2}"/>
            </c:ext>
          </c:extLst>
        </c:ser>
        <c:dLbls>
          <c:showLegendKey val="0"/>
          <c:showVal val="0"/>
          <c:showCatName val="0"/>
          <c:showSerName val="0"/>
          <c:showPercent val="0"/>
          <c:showBubbleSize val="0"/>
        </c:dLbls>
        <c:smooth val="0"/>
        <c:axId val="1367073807"/>
        <c:axId val="1202375535"/>
      </c:lineChart>
      <c:catAx>
        <c:axId val="136707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1DB954"/>
                </a:solidFill>
                <a:latin typeface="Anta" pitchFamily="2" charset="0"/>
                <a:ea typeface="+mn-ea"/>
                <a:cs typeface="+mn-cs"/>
              </a:defRPr>
            </a:pPr>
            <a:endParaRPr lang="en-US"/>
          </a:p>
        </c:txPr>
        <c:crossAx val="1202375535"/>
        <c:crosses val="autoZero"/>
        <c:auto val="1"/>
        <c:lblAlgn val="ctr"/>
        <c:lblOffset val="100"/>
        <c:noMultiLvlLbl val="0"/>
      </c:catAx>
      <c:valAx>
        <c:axId val="120237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1DB954"/>
                </a:solidFill>
                <a:latin typeface="Anta" pitchFamily="2" charset="0"/>
                <a:ea typeface="+mn-ea"/>
                <a:cs typeface="+mn-cs"/>
              </a:defRPr>
            </a:pPr>
            <a:endParaRPr lang="en-US"/>
          </a:p>
        </c:txPr>
        <c:crossAx val="136707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52916</xdr:colOff>
      <xdr:row>21</xdr:row>
      <xdr:rowOff>158749</xdr:rowOff>
    </xdr:to>
    <xdr:graphicFrame macro="">
      <xdr:nvGraphicFramePr>
        <xdr:cNvPr id="2" name="Chart 1">
          <a:extLst>
            <a:ext uri="{FF2B5EF4-FFF2-40B4-BE49-F238E27FC236}">
              <a16:creationId xmlns:a16="http://schemas.microsoft.com/office/drawing/2014/main" id="{486D5BD1-3810-4FEC-8144-79F649430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49795</xdr:colOff>
      <xdr:row>0</xdr:row>
      <xdr:rowOff>0</xdr:rowOff>
    </xdr:from>
    <xdr:to>
      <xdr:col>20</xdr:col>
      <xdr:colOff>176471</xdr:colOff>
      <xdr:row>21</xdr:row>
      <xdr:rowOff>156849</xdr:rowOff>
    </xdr:to>
    <xdr:graphicFrame macro="">
      <xdr:nvGraphicFramePr>
        <xdr:cNvPr id="3" name="Chart 2">
          <a:extLst>
            <a:ext uri="{FF2B5EF4-FFF2-40B4-BE49-F238E27FC236}">
              <a16:creationId xmlns:a16="http://schemas.microsoft.com/office/drawing/2014/main" id="{8F2332C6-5CB7-4AB6-986E-7010F9B66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158925</xdr:rowOff>
    </xdr:from>
    <xdr:to>
      <xdr:col>10</xdr:col>
      <xdr:colOff>61452</xdr:colOff>
      <xdr:row>46</xdr:row>
      <xdr:rowOff>10889</xdr:rowOff>
    </xdr:to>
    <xdr:graphicFrame macro="">
      <xdr:nvGraphicFramePr>
        <xdr:cNvPr id="4" name="Chart 3">
          <a:extLst>
            <a:ext uri="{FF2B5EF4-FFF2-40B4-BE49-F238E27FC236}">
              <a16:creationId xmlns:a16="http://schemas.microsoft.com/office/drawing/2014/main" id="{C4436FC0-18D2-4804-8C0C-F62D43EB9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48846</xdr:colOff>
      <xdr:row>21</xdr:row>
      <xdr:rowOff>160042</xdr:rowOff>
    </xdr:from>
    <xdr:to>
      <xdr:col>20</xdr:col>
      <xdr:colOff>185616</xdr:colOff>
      <xdr:row>46</xdr:row>
      <xdr:rowOff>19537</xdr:rowOff>
    </xdr:to>
    <xdr:graphicFrame macro="">
      <xdr:nvGraphicFramePr>
        <xdr:cNvPr id="5" name="Chart 4">
          <a:extLst>
            <a:ext uri="{FF2B5EF4-FFF2-40B4-BE49-F238E27FC236}">
              <a16:creationId xmlns:a16="http://schemas.microsoft.com/office/drawing/2014/main" id="{0CEF8DF4-D2B0-4F56-98E6-90BA37F39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184726</xdr:colOff>
      <xdr:row>0</xdr:row>
      <xdr:rowOff>0</xdr:rowOff>
    </xdr:from>
    <xdr:to>
      <xdr:col>23</xdr:col>
      <xdr:colOff>23090</xdr:colOff>
      <xdr:row>20</xdr:row>
      <xdr:rowOff>77756</xdr:rowOff>
    </xdr:to>
    <mc:AlternateContent xmlns:mc="http://schemas.openxmlformats.org/markup-compatibility/2006">
      <mc:Choice xmlns:a14="http://schemas.microsoft.com/office/drawing/2010/main" Requires="a14">
        <xdr:graphicFrame macro="">
          <xdr:nvGraphicFramePr>
            <xdr:cNvPr id="6" name="Genre">
              <a:extLst>
                <a:ext uri="{FF2B5EF4-FFF2-40B4-BE49-F238E27FC236}">
                  <a16:creationId xmlns:a16="http://schemas.microsoft.com/office/drawing/2014/main" id="{63C4518D-5B5A-4793-A12B-4739FABE3951}"/>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2446795" y="0"/>
              <a:ext cx="1677674" cy="3800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0.37535</cdr:x>
      <cdr:y>0.8917</cdr:y>
    </cdr:from>
    <cdr:to>
      <cdr:x>0.59548</cdr:x>
      <cdr:y>0.97046</cdr:y>
    </cdr:to>
    <cdr:sp macro="" textlink="">
      <cdr:nvSpPr>
        <cdr:cNvPr id="2" name="TextBox 1">
          <a:extLst xmlns:a="http://schemas.openxmlformats.org/drawingml/2006/main">
            <a:ext uri="{FF2B5EF4-FFF2-40B4-BE49-F238E27FC236}">
              <a16:creationId xmlns:a16="http://schemas.microsoft.com/office/drawing/2014/main" id="{8F452C95-1AD9-43FB-91F1-3AF306363537}"/>
            </a:ext>
          </a:extLst>
        </cdr:cNvPr>
        <cdr:cNvSpPr txBox="1"/>
      </cdr:nvSpPr>
      <cdr:spPr>
        <a:xfrm xmlns:a="http://schemas.openxmlformats.org/drawingml/2006/main">
          <a:off x="2533650" y="4025900"/>
          <a:ext cx="1485900" cy="355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2000" b="1" kern="1200">
              <a:latin typeface="Anta" pitchFamily="2" charset="0"/>
            </a:rPr>
            <a:t>TRACKS</a:t>
          </a:r>
        </a:p>
      </cdr:txBody>
    </cdr:sp>
  </cdr:relSizeAnchor>
  <cdr:relSizeAnchor xmlns:cdr="http://schemas.openxmlformats.org/drawingml/2006/chartDrawing">
    <cdr:from>
      <cdr:x>0.14571</cdr:x>
      <cdr:y>0.79231</cdr:y>
    </cdr:from>
    <cdr:to>
      <cdr:x>0.79765</cdr:x>
      <cdr:y>0.91491</cdr:y>
    </cdr:to>
    <cdr:sp macro="" textlink="">
      <cdr:nvSpPr>
        <cdr:cNvPr id="3" name="TextBox 2">
          <a:extLst xmlns:a="http://schemas.openxmlformats.org/drawingml/2006/main">
            <a:ext uri="{FF2B5EF4-FFF2-40B4-BE49-F238E27FC236}">
              <a16:creationId xmlns:a16="http://schemas.microsoft.com/office/drawing/2014/main" id="{CDBC60D9-0AF9-EBC5-A959-1C536B6C6302}"/>
            </a:ext>
          </a:extLst>
        </cdr:cNvPr>
        <cdr:cNvSpPr txBox="1"/>
      </cdr:nvSpPr>
      <cdr:spPr>
        <a:xfrm xmlns:a="http://schemas.openxmlformats.org/drawingml/2006/main">
          <a:off x="900545" y="3541740"/>
          <a:ext cx="4029363" cy="5480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2400" b="1" kern="1200">
              <a:solidFill>
                <a:srgbClr val="1DB954"/>
              </a:solidFill>
            </a:rPr>
            <a:t>TRACKS FOR</a:t>
          </a:r>
          <a:r>
            <a:rPr lang="en-IN" sz="2400" b="1" kern="1200" baseline="0">
              <a:solidFill>
                <a:srgbClr val="1DB954"/>
              </a:solidFill>
            </a:rPr>
            <a:t> POP ROCK</a:t>
          </a:r>
          <a:endParaRPr lang="en-IN" sz="2400" b="1" kern="1200">
            <a:solidFill>
              <a:srgbClr val="1DB954"/>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mol" refreshedDate="46283.56917800926" createdVersion="8" refreshedVersion="8" minRefreshableVersion="3" recordCount="12" xr:uid="{C71591F4-CE24-4DAA-86DC-2219C5FE68AE}">
  <cacheSource type="worksheet">
    <worksheetSource name="SPOTIFY_DATA"/>
  </cacheSource>
  <cacheFields count="9">
    <cacheField name="Rank" numFmtId="0">
      <sharedItems containsSemiMixedTypes="0" containsString="0" containsNumber="1" containsInteger="1" minValue="1" maxValue="12"/>
    </cacheField>
    <cacheField name="Track_Name" numFmtId="0">
      <sharedItems count="12">
        <s v="Blinding Lights"/>
        <s v="Shape of You"/>
        <s v="Someone You Loved"/>
        <s v="Sunflower"/>
        <s v="As It Was"/>
        <s v="Starboy"/>
        <s v="One Dance"/>
        <s v="Stay"/>
        <s v="Believer"/>
        <s v="Heat Waves"/>
        <s v="Rockstar"/>
        <s v="Closer"/>
      </sharedItems>
    </cacheField>
    <cacheField name="Artist_Name" numFmtId="0">
      <sharedItems/>
    </cacheField>
    <cacheField name="Streams_Billions" numFmtId="0">
      <sharedItems containsSemiMixedTypes="0" containsString="0" containsNumber="1" minValue="2.88" maxValue="4.32"/>
    </cacheField>
    <cacheField name="Release_Year" numFmtId="0">
      <sharedItems containsSemiMixedTypes="0" containsString="0" containsNumber="1" containsInteger="1" minValue="2016" maxValue="2022" count="7">
        <n v="2019"/>
        <n v="2017"/>
        <n v="2018"/>
        <n v="2022"/>
        <n v="2016"/>
        <n v="2021"/>
        <n v="2020"/>
      </sharedItems>
    </cacheField>
    <cacheField name="Genre" numFmtId="0">
      <sharedItems count="12">
        <s v="Synth-Pop"/>
        <s v="Pop"/>
        <s v="Pop Ballad"/>
        <s v="Hip-Hop / R&amp;B"/>
        <s v="Indie Pop"/>
        <s v="R&amp;B / Electro"/>
        <s v="Afrobeats / Dancehall"/>
        <s v="Pop Rap"/>
        <s v="Pop Rock"/>
        <s v="Psychedelic Pop"/>
        <s v="Trap / Hip-Hop"/>
        <s v="EDM Pop"/>
      </sharedItems>
    </cacheField>
    <cacheField name="BPM" numFmtId="0">
      <sharedItems containsSemiMixedTypes="0" containsString="0" containsNumber="1" containsInteger="1" minValue="81" maxValue="186"/>
    </cacheField>
    <cacheField name="Danceability_Pct" numFmtId="0">
      <sharedItems containsSemiMixedTypes="0" containsString="0" containsNumber="1" containsInteger="1" minValue="50" maxValue="83"/>
    </cacheField>
    <cacheField name="Energy_Pct" numFmtId="0">
      <sharedItems containsSemiMixedTypes="0" containsString="0" containsNumber="1" containsInteger="1" minValue="41" maxValue="78"/>
    </cacheField>
  </cacheFields>
  <extLst>
    <ext xmlns:x14="http://schemas.microsoft.com/office/spreadsheetml/2009/9/main" uri="{725AE2AE-9491-48be-B2B4-4EB974FC3084}">
      <x14:pivotCacheDefinition pivotCacheId="183914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x v="0"/>
    <s v="The Weeknd"/>
    <n v="4.32"/>
    <x v="0"/>
    <x v="0"/>
    <n v="171"/>
    <n v="51"/>
    <n v="73"/>
  </r>
  <r>
    <n v="2"/>
    <x v="1"/>
    <s v="Ed Sheeran"/>
    <n v="3.95"/>
    <x v="1"/>
    <x v="1"/>
    <n v="96"/>
    <n v="83"/>
    <n v="65"/>
  </r>
  <r>
    <n v="3"/>
    <x v="2"/>
    <s v="Lewis Capaldi"/>
    <n v="3.41"/>
    <x v="2"/>
    <x v="2"/>
    <n v="110"/>
    <n v="50"/>
    <n v="41"/>
  </r>
  <r>
    <n v="4"/>
    <x v="3"/>
    <s v="Post Malone &amp; Swae Lee"/>
    <n v="3.38"/>
    <x v="2"/>
    <x v="3"/>
    <n v="90"/>
    <n v="76"/>
    <n v="48"/>
  </r>
  <r>
    <n v="5"/>
    <x v="4"/>
    <s v="Harry Styles"/>
    <n v="3.31"/>
    <x v="3"/>
    <x v="4"/>
    <n v="174"/>
    <n v="52"/>
    <n v="73"/>
  </r>
  <r>
    <n v="6"/>
    <x v="5"/>
    <s v="The Weeknd ft. Daft Punk"/>
    <n v="3.29"/>
    <x v="4"/>
    <x v="5"/>
    <n v="186"/>
    <n v="68"/>
    <n v="59"/>
  </r>
  <r>
    <n v="7"/>
    <x v="6"/>
    <s v="Drake ft. Wizkid &amp; Kyla"/>
    <n v="3.18"/>
    <x v="4"/>
    <x v="6"/>
    <n v="104"/>
    <n v="79"/>
    <n v="63"/>
  </r>
  <r>
    <n v="8"/>
    <x v="7"/>
    <s v="The Kid LAROI &amp; Justin Bieber"/>
    <n v="3.11"/>
    <x v="5"/>
    <x v="7"/>
    <n v="170"/>
    <n v="59"/>
    <n v="76"/>
  </r>
  <r>
    <n v="9"/>
    <x v="8"/>
    <s v="Imagine Dragons"/>
    <n v="3.02"/>
    <x v="1"/>
    <x v="8"/>
    <n v="125"/>
    <n v="78"/>
    <n v="78"/>
  </r>
  <r>
    <n v="10"/>
    <x v="9"/>
    <s v="Glass Animals"/>
    <n v="2.98"/>
    <x v="6"/>
    <x v="9"/>
    <n v="81"/>
    <n v="76"/>
    <n v="53"/>
  </r>
  <r>
    <n v="11"/>
    <x v="10"/>
    <s v="Post Malone ft. 21 Savage"/>
    <n v="2.92"/>
    <x v="1"/>
    <x v="10"/>
    <n v="160"/>
    <n v="59"/>
    <n v="52"/>
  </r>
  <r>
    <n v="12"/>
    <x v="11"/>
    <s v="The Chainsmokers ft. Halsey"/>
    <n v="2.88"/>
    <x v="4"/>
    <x v="11"/>
    <n v="95"/>
    <n v="75"/>
    <n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7F5D47-939F-4382-AF25-E836537060A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9">
    <pivotField showAll="0"/>
    <pivotField showAll="0"/>
    <pivotField showAll="0"/>
    <pivotField dataField="1" showAll="0"/>
    <pivotField showAll="0"/>
    <pivotField axis="axisRow" showAll="0">
      <items count="13">
        <item x="6"/>
        <item x="11"/>
        <item x="3"/>
        <item x="4"/>
        <item x="1"/>
        <item x="2"/>
        <item x="7"/>
        <item x="8"/>
        <item x="9"/>
        <item x="5"/>
        <item x="0"/>
        <item x="10"/>
        <item t="default"/>
      </items>
    </pivotField>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Streams_Billions" fld="3" baseField="0" baseItem="0"/>
  </dataFields>
  <formats count="6">
    <format dxfId="562">
      <pivotArea type="all" dataOnly="0" outline="0" fieldPosition="0"/>
    </format>
    <format dxfId="561">
      <pivotArea outline="0" collapsedLevelsAreSubtotals="1" fieldPosition="0"/>
    </format>
    <format dxfId="560">
      <pivotArea field="5" type="button" dataOnly="0" labelOnly="1" outline="0" axis="axisRow" fieldPosition="0"/>
    </format>
    <format dxfId="559">
      <pivotArea dataOnly="0" labelOnly="1" fieldPosition="0">
        <references count="1">
          <reference field="5" count="0"/>
        </references>
      </pivotArea>
    </format>
    <format dxfId="558">
      <pivotArea dataOnly="0" labelOnly="1" grandRow="1" outline="0" fieldPosition="0"/>
    </format>
    <format dxfId="557">
      <pivotArea dataOnly="0" labelOnly="1" outline="0" axis="axisValues" fieldPosition="0"/>
    </format>
  </formats>
  <chartFormats count="13">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5" count="1" selected="0">
            <x v="0"/>
          </reference>
        </references>
      </pivotArea>
    </chartFormat>
    <chartFormat chart="4" format="16">
      <pivotArea type="data" outline="0" fieldPosition="0">
        <references count="2">
          <reference field="4294967294" count="1" selected="0">
            <x v="0"/>
          </reference>
          <reference field="5" count="1" selected="0">
            <x v="1"/>
          </reference>
        </references>
      </pivotArea>
    </chartFormat>
    <chartFormat chart="4" format="17">
      <pivotArea type="data" outline="0" fieldPosition="0">
        <references count="2">
          <reference field="4294967294" count="1" selected="0">
            <x v="0"/>
          </reference>
          <reference field="5" count="1" selected="0">
            <x v="2"/>
          </reference>
        </references>
      </pivotArea>
    </chartFormat>
    <chartFormat chart="4" format="18">
      <pivotArea type="data" outline="0" fieldPosition="0">
        <references count="2">
          <reference field="4294967294" count="1" selected="0">
            <x v="0"/>
          </reference>
          <reference field="5" count="1" selected="0">
            <x v="3"/>
          </reference>
        </references>
      </pivotArea>
    </chartFormat>
    <chartFormat chart="4" format="19">
      <pivotArea type="data" outline="0" fieldPosition="0">
        <references count="2">
          <reference field="4294967294" count="1" selected="0">
            <x v="0"/>
          </reference>
          <reference field="5" count="1" selected="0">
            <x v="4"/>
          </reference>
        </references>
      </pivotArea>
    </chartFormat>
    <chartFormat chart="4" format="20">
      <pivotArea type="data" outline="0" fieldPosition="0">
        <references count="2">
          <reference field="4294967294" count="1" selected="0">
            <x v="0"/>
          </reference>
          <reference field="5" count="1" selected="0">
            <x v="5"/>
          </reference>
        </references>
      </pivotArea>
    </chartFormat>
    <chartFormat chart="4" format="21">
      <pivotArea type="data" outline="0" fieldPosition="0">
        <references count="2">
          <reference field="4294967294" count="1" selected="0">
            <x v="0"/>
          </reference>
          <reference field="5" count="1" selected="0">
            <x v="6"/>
          </reference>
        </references>
      </pivotArea>
    </chartFormat>
    <chartFormat chart="4" format="22">
      <pivotArea type="data" outline="0" fieldPosition="0">
        <references count="2">
          <reference field="4294967294" count="1" selected="0">
            <x v="0"/>
          </reference>
          <reference field="5" count="1" selected="0">
            <x v="7"/>
          </reference>
        </references>
      </pivotArea>
    </chartFormat>
    <chartFormat chart="4" format="23">
      <pivotArea type="data" outline="0" fieldPosition="0">
        <references count="2">
          <reference field="4294967294" count="1" selected="0">
            <x v="0"/>
          </reference>
          <reference field="5" count="1" selected="0">
            <x v="8"/>
          </reference>
        </references>
      </pivotArea>
    </chartFormat>
    <chartFormat chart="4" format="24">
      <pivotArea type="data" outline="0" fieldPosition="0">
        <references count="2">
          <reference field="4294967294" count="1" selected="0">
            <x v="0"/>
          </reference>
          <reference field="5" count="1" selected="0">
            <x v="9"/>
          </reference>
        </references>
      </pivotArea>
    </chartFormat>
    <chartFormat chart="4" format="25">
      <pivotArea type="data" outline="0" fieldPosition="0">
        <references count="2">
          <reference field="4294967294" count="1" selected="0">
            <x v="0"/>
          </reference>
          <reference field="5" count="1" selected="0">
            <x v="10"/>
          </reference>
        </references>
      </pivotArea>
    </chartFormat>
    <chartFormat chart="4" format="26">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8E7B31-2572-437B-AE30-CA5220053B2E}"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5" firstHeaderRow="0" firstDataRow="1" firstDataCol="1"/>
  <pivotFields count="9">
    <pivotField showAll="0"/>
    <pivotField axis="axisRow" showAll="0">
      <items count="13">
        <item h="1" x="4"/>
        <item x="8"/>
        <item h="1" x="0"/>
        <item h="1" x="11"/>
        <item h="1" x="9"/>
        <item h="1" x="6"/>
        <item h="1" x="10"/>
        <item h="1" x="1"/>
        <item h="1" x="2"/>
        <item h="1" x="5"/>
        <item h="1" x="7"/>
        <item h="1" x="3"/>
        <item t="default"/>
      </items>
    </pivotField>
    <pivotField showAll="0"/>
    <pivotField showAll="0"/>
    <pivotField showAll="0"/>
    <pivotField showAll="0">
      <items count="13">
        <item x="6"/>
        <item x="11"/>
        <item x="3"/>
        <item x="4"/>
        <item x="1"/>
        <item x="2"/>
        <item x="7"/>
        <item x="8"/>
        <item x="9"/>
        <item x="5"/>
        <item x="0"/>
        <item x="10"/>
        <item t="default"/>
      </items>
    </pivotField>
    <pivotField showAll="0"/>
    <pivotField dataField="1" showAll="0"/>
    <pivotField dataField="1" showAll="0"/>
  </pivotFields>
  <rowFields count="1">
    <field x="1"/>
  </rowFields>
  <rowItems count="2">
    <i>
      <x v="1"/>
    </i>
    <i t="grand">
      <x/>
    </i>
  </rowItems>
  <colFields count="1">
    <field x="-2"/>
  </colFields>
  <colItems count="2">
    <i>
      <x/>
    </i>
    <i i="1">
      <x v="1"/>
    </i>
  </colItems>
  <dataFields count="2">
    <dataField name="Sum of Danceability_Pct" fld="7" baseField="0" baseItem="0"/>
    <dataField name="Sum of Energy_Pct" fld="8" baseField="0" baseItem="0"/>
  </dataFields>
  <formats count="6">
    <format dxfId="556">
      <pivotArea type="all" dataOnly="0" outline="0" fieldPosition="0"/>
    </format>
    <format dxfId="555">
      <pivotArea outline="0" collapsedLevelsAreSubtotals="1" fieldPosition="0"/>
    </format>
    <format dxfId="554">
      <pivotArea field="1" type="button" dataOnly="0" labelOnly="1" outline="0" axis="axisRow" fieldPosition="0"/>
    </format>
    <format dxfId="553">
      <pivotArea dataOnly="0" labelOnly="1" fieldPosition="0">
        <references count="1">
          <reference field="1" count="0"/>
        </references>
      </pivotArea>
    </format>
    <format dxfId="552">
      <pivotArea dataOnly="0" labelOnly="1" grandRow="1" outline="0" fieldPosition="0"/>
    </format>
    <format dxfId="551">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9616A7-0F7D-455A-945B-573E971BF8B7}"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9">
    <pivotField showAll="0"/>
    <pivotField showAll="0"/>
    <pivotField showAll="0"/>
    <pivotField dataField="1" showAll="0"/>
    <pivotField axis="axisRow" showAll="0">
      <items count="8">
        <item x="4"/>
        <item x="1"/>
        <item x="2"/>
        <item x="0"/>
        <item x="6"/>
        <item x="5"/>
        <item x="3"/>
        <item t="default"/>
      </items>
    </pivotField>
    <pivotField showAll="0">
      <items count="13">
        <item x="6"/>
        <item x="11"/>
        <item x="3"/>
        <item x="4"/>
        <item x="1"/>
        <item x="2"/>
        <item x="7"/>
        <item x="8"/>
        <item x="9"/>
        <item x="5"/>
        <item x="0"/>
        <item x="10"/>
        <item t="default"/>
      </items>
    </pivotField>
    <pivotField showAll="0"/>
    <pivotField showAll="0"/>
    <pivotField showAll="0"/>
  </pivotFields>
  <rowFields count="1">
    <field x="4"/>
  </rowFields>
  <rowItems count="8">
    <i>
      <x/>
    </i>
    <i>
      <x v="1"/>
    </i>
    <i>
      <x v="2"/>
    </i>
    <i>
      <x v="3"/>
    </i>
    <i>
      <x v="4"/>
    </i>
    <i>
      <x v="5"/>
    </i>
    <i>
      <x v="6"/>
    </i>
    <i t="grand">
      <x/>
    </i>
  </rowItems>
  <colItems count="1">
    <i/>
  </colItems>
  <dataFields count="1">
    <dataField name="Sum of Streams_Billions"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E40215-85E2-472C-B772-EF80E57BD65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racks">
  <location ref="A3:B16" firstHeaderRow="1" firstDataRow="1" firstDataCol="1"/>
  <pivotFields count="9">
    <pivotField showAll="0"/>
    <pivotField axis="axisRow" showAll="0">
      <items count="13">
        <item x="4"/>
        <item x="8"/>
        <item x="0"/>
        <item x="11"/>
        <item x="9"/>
        <item x="6"/>
        <item x="10"/>
        <item x="1"/>
        <item x="2"/>
        <item x="5"/>
        <item x="7"/>
        <item x="3"/>
        <item t="default"/>
      </items>
    </pivotField>
    <pivotField showAll="0"/>
    <pivotField dataField="1" showAll="0"/>
    <pivotField showAll="0"/>
    <pivotField showAll="0">
      <items count="13">
        <item x="6"/>
        <item x="11"/>
        <item x="3"/>
        <item x="4"/>
        <item x="1"/>
        <item x="2"/>
        <item x="7"/>
        <item x="8"/>
        <item x="9"/>
        <item x="5"/>
        <item x="0"/>
        <item x="10"/>
        <item t="default"/>
      </items>
    </pivotField>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Total Streams_Billions" fld="3" baseField="0" baseItem="0"/>
  </dataFields>
  <formats count="7">
    <format dxfId="569">
      <pivotArea type="all" dataOnly="0" outline="0" fieldPosition="0"/>
    </format>
    <format dxfId="568">
      <pivotArea outline="0" collapsedLevelsAreSubtotals="1" fieldPosition="0"/>
    </format>
    <format dxfId="567">
      <pivotArea field="1" type="button" dataOnly="0" labelOnly="1" outline="0" axis="axisRow" fieldPosition="0"/>
    </format>
    <format dxfId="566">
      <pivotArea dataOnly="0" labelOnly="1" fieldPosition="0">
        <references count="1">
          <reference field="1" count="0"/>
        </references>
      </pivotArea>
    </format>
    <format dxfId="565">
      <pivotArea dataOnly="0" labelOnly="1" grandRow="1" outline="0" fieldPosition="0"/>
    </format>
    <format dxfId="564">
      <pivotArea dataOnly="0" labelOnly="1" outline="0" axis="axisValues" fieldPosition="0"/>
    </format>
    <format dxfId="563">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680DBC72-D79F-4DCB-84CA-01F1246FD3D3}" sourceName="Genre">
  <pivotTables>
    <pivotTable tabId="6" name="PivotTable3"/>
    <pivotTable tabId="2" name="PivotTable1"/>
    <pivotTable tabId="5" name="PivotTable2"/>
    <pivotTable tabId="7" name="PivotTable4"/>
  </pivotTables>
  <data>
    <tabular pivotCacheId="183914609">
      <items count="12">
        <i x="6" s="1"/>
        <i x="11" s="1"/>
        <i x="3" s="1"/>
        <i x="4" s="1"/>
        <i x="1" s="1"/>
        <i x="2" s="1"/>
        <i x="7" s="1"/>
        <i x="8" s="1"/>
        <i x="9" s="1"/>
        <i x="5" s="1"/>
        <i x="0"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ABEC4DA4-808A-45E3-AA2F-CD804287B420}" cache="Slicer_Genre" caption="Genr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4A4BDD-C264-4734-AF1F-56AFD0AE5F28}" name="SPOTIFY_DATA" displayName="SPOTIFY_DATA" ref="A1:I13" totalsRowShown="0">
  <autoFilter ref="A1:I13" xr:uid="{134A4BDD-C264-4734-AF1F-56AFD0AE5F28}"/>
  <tableColumns count="9">
    <tableColumn id="1" xr3:uid="{EE907F96-52A1-430A-954C-A37DE031956A}" name="Rank"/>
    <tableColumn id="2" xr3:uid="{6A611815-1CB6-40C0-8727-27D1BEFC9C94}" name="Track_Name"/>
    <tableColumn id="3" xr3:uid="{8185A263-A8D0-4348-A1B8-49C1F05E77D5}" name="Artist_Name"/>
    <tableColumn id="4" xr3:uid="{49A0DD06-4B1E-4F1A-9C05-0C6A65E43880}" name="Streams_Billions"/>
    <tableColumn id="5" xr3:uid="{B51924F9-11AD-402F-9404-FABDF86A1D18}" name="Release_Year"/>
    <tableColumn id="6" xr3:uid="{FF562FA9-7E73-44B5-A5E9-F5A8506A4DE3}" name="Genre"/>
    <tableColumn id="7" xr3:uid="{060BFEE2-D606-47EC-83C9-A4C5731D7D7F}" name="BPM"/>
    <tableColumn id="8" xr3:uid="{55E8E9AF-7A9D-4640-9908-EA269B5B6AC9}" name="Danceability_Pct"/>
    <tableColumn id="9" xr3:uid="{2438A914-F811-4A28-B42B-9B5EEAEDA454}" name="Energy_P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C204C-5F8D-4306-B241-6F88D25E00B9}">
  <dimension ref="A3:B16"/>
  <sheetViews>
    <sheetView workbookViewId="0">
      <selection activeCell="B12" sqref="B12"/>
    </sheetView>
  </sheetViews>
  <sheetFormatPr defaultRowHeight="14.5" x14ac:dyDescent="0.35"/>
  <cols>
    <col min="1" max="1" width="19.08984375" bestFit="1" customWidth="1"/>
    <col min="2" max="2" width="21.08984375" bestFit="1" customWidth="1"/>
  </cols>
  <sheetData>
    <row r="3" spans="1:2" x14ac:dyDescent="0.35">
      <c r="A3" s="4" t="s">
        <v>45</v>
      </c>
      <c r="B3" s="5" t="s">
        <v>47</v>
      </c>
    </row>
    <row r="4" spans="1:2" x14ac:dyDescent="0.35">
      <c r="A4" s="6" t="s">
        <v>29</v>
      </c>
      <c r="B4" s="7">
        <v>3.18</v>
      </c>
    </row>
    <row r="5" spans="1:2" x14ac:dyDescent="0.35">
      <c r="A5" s="6" t="s">
        <v>44</v>
      </c>
      <c r="B5" s="7">
        <v>2.88</v>
      </c>
    </row>
    <row r="6" spans="1:2" x14ac:dyDescent="0.35">
      <c r="A6" s="6" t="s">
        <v>20</v>
      </c>
      <c r="B6" s="7">
        <v>3.38</v>
      </c>
    </row>
    <row r="7" spans="1:2" x14ac:dyDescent="0.35">
      <c r="A7" s="6" t="s">
        <v>23</v>
      </c>
      <c r="B7" s="7">
        <v>3.31</v>
      </c>
    </row>
    <row r="8" spans="1:2" x14ac:dyDescent="0.35">
      <c r="A8" s="6" t="s">
        <v>14</v>
      </c>
      <c r="B8" s="7">
        <v>3.95</v>
      </c>
    </row>
    <row r="9" spans="1:2" x14ac:dyDescent="0.35">
      <c r="A9" s="6" t="s">
        <v>17</v>
      </c>
      <c r="B9" s="7">
        <v>3.41</v>
      </c>
    </row>
    <row r="10" spans="1:2" x14ac:dyDescent="0.35">
      <c r="A10" s="6" t="s">
        <v>32</v>
      </c>
      <c r="B10" s="7">
        <v>3.11</v>
      </c>
    </row>
    <row r="11" spans="1:2" x14ac:dyDescent="0.35">
      <c r="A11" s="6" t="s">
        <v>35</v>
      </c>
      <c r="B11" s="7">
        <v>3.02</v>
      </c>
    </row>
    <row r="12" spans="1:2" x14ac:dyDescent="0.35">
      <c r="A12" s="6" t="s">
        <v>38</v>
      </c>
      <c r="B12" s="7">
        <v>2.98</v>
      </c>
    </row>
    <row r="13" spans="1:2" x14ac:dyDescent="0.35">
      <c r="A13" s="6" t="s">
        <v>26</v>
      </c>
      <c r="B13" s="7">
        <v>3.29</v>
      </c>
    </row>
    <row r="14" spans="1:2" x14ac:dyDescent="0.35">
      <c r="A14" s="6" t="s">
        <v>11</v>
      </c>
      <c r="B14" s="7">
        <v>4.32</v>
      </c>
    </row>
    <row r="15" spans="1:2" x14ac:dyDescent="0.35">
      <c r="A15" s="6" t="s">
        <v>41</v>
      </c>
      <c r="B15" s="7">
        <v>2.92</v>
      </c>
    </row>
    <row r="16" spans="1:2" x14ac:dyDescent="0.35">
      <c r="A16" s="6" t="s">
        <v>46</v>
      </c>
      <c r="B16" s="7">
        <v>39.750000000000007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7368-FBFA-415B-9611-9706071006DD}">
  <dimension ref="A3:C5"/>
  <sheetViews>
    <sheetView zoomScale="76" workbookViewId="0">
      <selection activeCell="C12" sqref="C12"/>
    </sheetView>
  </sheetViews>
  <sheetFormatPr defaultRowHeight="14.5" x14ac:dyDescent="0.35"/>
  <cols>
    <col min="1" max="1" width="13.6328125" bestFit="1" customWidth="1"/>
    <col min="2" max="2" width="21.6328125" bestFit="1" customWidth="1"/>
    <col min="3" max="3" width="16.81640625" bestFit="1" customWidth="1"/>
  </cols>
  <sheetData>
    <row r="3" spans="1:3" x14ac:dyDescent="0.35">
      <c r="A3" s="4" t="s">
        <v>45</v>
      </c>
      <c r="B3" s="5" t="s">
        <v>50</v>
      </c>
      <c r="C3" s="5" t="s">
        <v>51</v>
      </c>
    </row>
    <row r="4" spans="1:3" x14ac:dyDescent="0.35">
      <c r="A4" s="6" t="s">
        <v>33</v>
      </c>
      <c r="B4" s="7">
        <v>78</v>
      </c>
      <c r="C4" s="7">
        <v>78</v>
      </c>
    </row>
    <row r="5" spans="1:3" x14ac:dyDescent="0.35">
      <c r="A5" s="6" t="s">
        <v>46</v>
      </c>
      <c r="B5" s="7">
        <v>78</v>
      </c>
      <c r="C5" s="7">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DBAF6-5A88-4E7D-BDDB-5ED0B52660D3}">
  <dimension ref="A3:B11"/>
  <sheetViews>
    <sheetView zoomScale="116" zoomScaleNormal="400" workbookViewId="0">
      <selection activeCell="I21" sqref="I21"/>
    </sheetView>
  </sheetViews>
  <sheetFormatPr defaultRowHeight="14.5" x14ac:dyDescent="0.35"/>
  <cols>
    <col min="1" max="1" width="12.36328125" bestFit="1" customWidth="1"/>
    <col min="2" max="2" width="21.26953125" bestFit="1" customWidth="1"/>
  </cols>
  <sheetData>
    <row r="3" spans="1:2" x14ac:dyDescent="0.35">
      <c r="A3" s="1" t="s">
        <v>45</v>
      </c>
      <c r="B3" t="s">
        <v>47</v>
      </c>
    </row>
    <row r="4" spans="1:2" x14ac:dyDescent="0.35">
      <c r="A4" s="2">
        <v>2016</v>
      </c>
      <c r="B4" s="3">
        <v>9.3500000000000014</v>
      </c>
    </row>
    <row r="5" spans="1:2" x14ac:dyDescent="0.35">
      <c r="A5" s="2">
        <v>2017</v>
      </c>
      <c r="B5" s="3">
        <v>9.89</v>
      </c>
    </row>
    <row r="6" spans="1:2" x14ac:dyDescent="0.35">
      <c r="A6" s="2">
        <v>2018</v>
      </c>
      <c r="B6" s="3">
        <v>6.79</v>
      </c>
    </row>
    <row r="7" spans="1:2" x14ac:dyDescent="0.35">
      <c r="A7" s="2">
        <v>2019</v>
      </c>
      <c r="B7" s="3">
        <v>4.32</v>
      </c>
    </row>
    <row r="8" spans="1:2" x14ac:dyDescent="0.35">
      <c r="A8" s="2">
        <v>2020</v>
      </c>
      <c r="B8" s="3">
        <v>2.98</v>
      </c>
    </row>
    <row r="9" spans="1:2" x14ac:dyDescent="0.35">
      <c r="A9" s="2">
        <v>2021</v>
      </c>
      <c r="B9" s="3">
        <v>3.11</v>
      </c>
    </row>
    <row r="10" spans="1:2" x14ac:dyDescent="0.35">
      <c r="A10" s="2">
        <v>2022</v>
      </c>
      <c r="B10" s="3">
        <v>3.31</v>
      </c>
    </row>
    <row r="11" spans="1:2" x14ac:dyDescent="0.35">
      <c r="A11" s="2" t="s">
        <v>46</v>
      </c>
      <c r="B11" s="3">
        <v>39.75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A7490-E93C-459A-B684-CC5360E727F0}">
  <dimension ref="A1:I13"/>
  <sheetViews>
    <sheetView showFormulas="1" workbookViewId="0">
      <selection activeCell="C9" sqref="C9"/>
    </sheetView>
  </sheetViews>
  <sheetFormatPr defaultRowHeight="14.5" x14ac:dyDescent="0.35"/>
  <cols>
    <col min="1" max="1" width="4.26953125" customWidth="1"/>
    <col min="2" max="2" width="10.7265625" customWidth="1"/>
    <col min="3" max="3" width="13.36328125" customWidth="1"/>
    <col min="4" max="4" width="9.08984375" customWidth="1"/>
    <col min="5" max="5" width="7.81640625" customWidth="1"/>
    <col min="6" max="6" width="10.54296875" customWidth="1"/>
    <col min="7" max="7" width="5.36328125" customWidth="1"/>
    <col min="8" max="8" width="9.6328125" customWidth="1"/>
    <col min="9" max="9" width="6.7265625" customWidth="1"/>
  </cols>
  <sheetData>
    <row r="1" spans="1:9" x14ac:dyDescent="0.35">
      <c r="A1" t="s">
        <v>0</v>
      </c>
      <c r="B1" t="s">
        <v>1</v>
      </c>
      <c r="C1" t="s">
        <v>2</v>
      </c>
      <c r="D1" t="s">
        <v>3</v>
      </c>
      <c r="E1" t="s">
        <v>4</v>
      </c>
      <c r="F1" t="s">
        <v>5</v>
      </c>
      <c r="G1" t="s">
        <v>6</v>
      </c>
      <c r="H1" t="s">
        <v>7</v>
      </c>
      <c r="I1" t="s">
        <v>8</v>
      </c>
    </row>
    <row r="2" spans="1:9" x14ac:dyDescent="0.35">
      <c r="A2">
        <v>1</v>
      </c>
      <c r="B2" t="s">
        <v>9</v>
      </c>
      <c r="C2" t="s">
        <v>10</v>
      </c>
      <c r="D2">
        <v>4.32</v>
      </c>
      <c r="E2">
        <v>2019</v>
      </c>
      <c r="F2" t="s">
        <v>11</v>
      </c>
      <c r="G2">
        <v>171</v>
      </c>
      <c r="H2">
        <v>51</v>
      </c>
      <c r="I2">
        <v>73</v>
      </c>
    </row>
    <row r="3" spans="1:9" x14ac:dyDescent="0.35">
      <c r="A3">
        <v>2</v>
      </c>
      <c r="B3" t="s">
        <v>12</v>
      </c>
      <c r="C3" t="s">
        <v>13</v>
      </c>
      <c r="D3">
        <v>3.95</v>
      </c>
      <c r="E3">
        <v>2017</v>
      </c>
      <c r="F3" t="s">
        <v>14</v>
      </c>
      <c r="G3">
        <v>96</v>
      </c>
      <c r="H3">
        <v>83</v>
      </c>
      <c r="I3">
        <v>65</v>
      </c>
    </row>
    <row r="4" spans="1:9" x14ac:dyDescent="0.35">
      <c r="A4">
        <v>3</v>
      </c>
      <c r="B4" t="s">
        <v>15</v>
      </c>
      <c r="C4" t="s">
        <v>16</v>
      </c>
      <c r="D4">
        <v>3.41</v>
      </c>
      <c r="E4">
        <v>2018</v>
      </c>
      <c r="F4" t="s">
        <v>17</v>
      </c>
      <c r="G4">
        <v>110</v>
      </c>
      <c r="H4">
        <v>50</v>
      </c>
      <c r="I4">
        <v>41</v>
      </c>
    </row>
    <row r="5" spans="1:9" x14ac:dyDescent="0.35">
      <c r="A5">
        <v>4</v>
      </c>
      <c r="B5" t="s">
        <v>18</v>
      </c>
      <c r="C5" t="s">
        <v>19</v>
      </c>
      <c r="D5">
        <v>3.38</v>
      </c>
      <c r="E5">
        <v>2018</v>
      </c>
      <c r="F5" t="s">
        <v>20</v>
      </c>
      <c r="G5">
        <v>90</v>
      </c>
      <c r="H5">
        <v>76</v>
      </c>
      <c r="I5">
        <v>48</v>
      </c>
    </row>
    <row r="6" spans="1:9" x14ac:dyDescent="0.35">
      <c r="A6">
        <v>5</v>
      </c>
      <c r="B6" t="s">
        <v>21</v>
      </c>
      <c r="C6" t="s">
        <v>22</v>
      </c>
      <c r="D6">
        <v>3.31</v>
      </c>
      <c r="E6">
        <v>2022</v>
      </c>
      <c r="F6" t="s">
        <v>23</v>
      </c>
      <c r="G6">
        <v>174</v>
      </c>
      <c r="H6">
        <v>52</v>
      </c>
      <c r="I6">
        <v>73</v>
      </c>
    </row>
    <row r="7" spans="1:9" x14ac:dyDescent="0.35">
      <c r="A7">
        <v>6</v>
      </c>
      <c r="B7" t="s">
        <v>24</v>
      </c>
      <c r="C7" t="s">
        <v>25</v>
      </c>
      <c r="D7">
        <v>3.29</v>
      </c>
      <c r="E7">
        <v>2016</v>
      </c>
      <c r="F7" t="s">
        <v>26</v>
      </c>
      <c r="G7">
        <v>186</v>
      </c>
      <c r="H7">
        <v>68</v>
      </c>
      <c r="I7">
        <v>59</v>
      </c>
    </row>
    <row r="8" spans="1:9" x14ac:dyDescent="0.35">
      <c r="A8">
        <v>7</v>
      </c>
      <c r="B8" t="s">
        <v>27</v>
      </c>
      <c r="C8" t="s">
        <v>28</v>
      </c>
      <c r="D8">
        <v>3.18</v>
      </c>
      <c r="E8">
        <v>2016</v>
      </c>
      <c r="F8" t="s">
        <v>29</v>
      </c>
      <c r="G8">
        <v>104</v>
      </c>
      <c r="H8">
        <v>79</v>
      </c>
      <c r="I8">
        <v>63</v>
      </c>
    </row>
    <row r="9" spans="1:9" x14ac:dyDescent="0.35">
      <c r="A9">
        <v>8</v>
      </c>
      <c r="B9" t="s">
        <v>30</v>
      </c>
      <c r="C9" t="s">
        <v>31</v>
      </c>
      <c r="D9">
        <v>3.11</v>
      </c>
      <c r="E9">
        <v>2021</v>
      </c>
      <c r="F9" t="s">
        <v>32</v>
      </c>
      <c r="G9">
        <v>170</v>
      </c>
      <c r="H9">
        <v>59</v>
      </c>
      <c r="I9">
        <v>76</v>
      </c>
    </row>
    <row r="10" spans="1:9" x14ac:dyDescent="0.35">
      <c r="A10">
        <v>9</v>
      </c>
      <c r="B10" t="s">
        <v>33</v>
      </c>
      <c r="C10" t="s">
        <v>34</v>
      </c>
      <c r="D10">
        <v>3.02</v>
      </c>
      <c r="E10">
        <v>2017</v>
      </c>
      <c r="F10" t="s">
        <v>35</v>
      </c>
      <c r="G10">
        <v>125</v>
      </c>
      <c r="H10">
        <v>78</v>
      </c>
      <c r="I10">
        <v>78</v>
      </c>
    </row>
    <row r="11" spans="1:9" x14ac:dyDescent="0.35">
      <c r="A11">
        <v>10</v>
      </c>
      <c r="B11" t="s">
        <v>36</v>
      </c>
      <c r="C11" t="s">
        <v>37</v>
      </c>
      <c r="D11">
        <v>2.98</v>
      </c>
      <c r="E11">
        <v>2020</v>
      </c>
      <c r="F11" t="s">
        <v>38</v>
      </c>
      <c r="G11">
        <v>81</v>
      </c>
      <c r="H11">
        <v>76</v>
      </c>
      <c r="I11">
        <v>53</v>
      </c>
    </row>
    <row r="12" spans="1:9" x14ac:dyDescent="0.35">
      <c r="A12">
        <v>11</v>
      </c>
      <c r="B12" t="s">
        <v>39</v>
      </c>
      <c r="C12" t="s">
        <v>40</v>
      </c>
      <c r="D12">
        <v>2.92</v>
      </c>
      <c r="E12">
        <v>2017</v>
      </c>
      <c r="F12" t="s">
        <v>41</v>
      </c>
      <c r="G12">
        <v>160</v>
      </c>
      <c r="H12">
        <v>59</v>
      </c>
      <c r="I12">
        <v>52</v>
      </c>
    </row>
    <row r="13" spans="1:9" x14ac:dyDescent="0.35">
      <c r="A13">
        <v>12</v>
      </c>
      <c r="B13" t="s">
        <v>42</v>
      </c>
      <c r="C13" t="s">
        <v>43</v>
      </c>
      <c r="D13">
        <v>2.88</v>
      </c>
      <c r="E13">
        <v>2016</v>
      </c>
      <c r="F13" t="s">
        <v>44</v>
      </c>
      <c r="G13">
        <v>95</v>
      </c>
      <c r="H13">
        <v>75</v>
      </c>
      <c r="I13">
        <v>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A165E-D7F8-4FB2-9DCC-4870AA6651AF}">
  <dimension ref="A1"/>
  <sheetViews>
    <sheetView showGridLines="0" tabSelected="1" zoomScale="58" zoomScaleNormal="70" workbookViewId="0">
      <selection activeCell="W34" sqref="W34"/>
    </sheetView>
  </sheetViews>
  <sheetFormatPr defaultRowHeight="14.5" x14ac:dyDescent="0.3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0998-F32F-4BDC-BF21-8544EDF2E739}">
  <dimension ref="A3:B16"/>
  <sheetViews>
    <sheetView workbookViewId="0">
      <selection activeCell="B8" sqref="B8"/>
    </sheetView>
  </sheetViews>
  <sheetFormatPr defaultRowHeight="14.5" x14ac:dyDescent="0.35"/>
  <cols>
    <col min="1" max="1" width="17.81640625" bestFit="1" customWidth="1"/>
    <col min="2" max="2" width="19.453125" bestFit="1" customWidth="1"/>
  </cols>
  <sheetData>
    <row r="3" spans="1:2" x14ac:dyDescent="0.35">
      <c r="A3" s="4" t="s">
        <v>48</v>
      </c>
      <c r="B3" s="5" t="s">
        <v>49</v>
      </c>
    </row>
    <row r="4" spans="1:2" x14ac:dyDescent="0.35">
      <c r="A4" s="6" t="s">
        <v>21</v>
      </c>
      <c r="B4" s="7">
        <v>3.31</v>
      </c>
    </row>
    <row r="5" spans="1:2" x14ac:dyDescent="0.35">
      <c r="A5" s="6" t="s">
        <v>33</v>
      </c>
      <c r="B5" s="7">
        <v>3.02</v>
      </c>
    </row>
    <row r="6" spans="1:2" x14ac:dyDescent="0.35">
      <c r="A6" s="6" t="s">
        <v>9</v>
      </c>
      <c r="B6" s="7">
        <v>4.32</v>
      </c>
    </row>
    <row r="7" spans="1:2" x14ac:dyDescent="0.35">
      <c r="A7" s="6" t="s">
        <v>42</v>
      </c>
      <c r="B7" s="7">
        <v>2.88</v>
      </c>
    </row>
    <row r="8" spans="1:2" x14ac:dyDescent="0.35">
      <c r="A8" s="6" t="s">
        <v>36</v>
      </c>
      <c r="B8" s="7">
        <v>2.98</v>
      </c>
    </row>
    <row r="9" spans="1:2" x14ac:dyDescent="0.35">
      <c r="A9" s="6" t="s">
        <v>27</v>
      </c>
      <c r="B9" s="7">
        <v>3.18</v>
      </c>
    </row>
    <row r="10" spans="1:2" x14ac:dyDescent="0.35">
      <c r="A10" s="6" t="s">
        <v>39</v>
      </c>
      <c r="B10" s="7">
        <v>2.92</v>
      </c>
    </row>
    <row r="11" spans="1:2" x14ac:dyDescent="0.35">
      <c r="A11" s="6" t="s">
        <v>12</v>
      </c>
      <c r="B11" s="7">
        <v>3.95</v>
      </c>
    </row>
    <row r="12" spans="1:2" x14ac:dyDescent="0.35">
      <c r="A12" s="6" t="s">
        <v>15</v>
      </c>
      <c r="B12" s="7">
        <v>3.41</v>
      </c>
    </row>
    <row r="13" spans="1:2" x14ac:dyDescent="0.35">
      <c r="A13" s="6" t="s">
        <v>24</v>
      </c>
      <c r="B13" s="7">
        <v>3.29</v>
      </c>
    </row>
    <row r="14" spans="1:2" x14ac:dyDescent="0.35">
      <c r="A14" s="6" t="s">
        <v>30</v>
      </c>
      <c r="B14" s="7">
        <v>3.11</v>
      </c>
    </row>
    <row r="15" spans="1:2" x14ac:dyDescent="0.35">
      <c r="A15" s="6" t="s">
        <v>18</v>
      </c>
      <c r="B15" s="7">
        <v>3.38</v>
      </c>
    </row>
    <row r="16" spans="1:2" x14ac:dyDescent="0.35">
      <c r="A16" s="6" t="s">
        <v>46</v>
      </c>
      <c r="B16" s="7">
        <v>39.75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Sheet5</vt:lpstr>
      <vt:lpstr>SPOTIFY_DATA</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SINGH</dc:creator>
  <cp:lastModifiedBy>ANMOL SINGH</cp:lastModifiedBy>
  <dcterms:created xsi:type="dcterms:W3CDTF">2026-09-18T08:04:46Z</dcterms:created>
  <dcterms:modified xsi:type="dcterms:W3CDTF">2026-09-18T08:57:08Z</dcterms:modified>
</cp:coreProperties>
</file>